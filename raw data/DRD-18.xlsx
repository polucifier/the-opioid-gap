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RD-18" sheetId="1" state="visible" r:id="rId3"/>
    <sheet name="Sheet2"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<sst xmlns="http://schemas.openxmlformats.org/spreadsheetml/2006/main" count="163" uniqueCount="106">
  <si>
    <t xml:space="preserve">Overdose deaths  &gt;  Current situation  &gt;  Toxicology  &gt;  With opioids</t>
  </si>
  <si>
    <t xml:space="preserve">Country</t>
  </si>
  <si>
    <t xml:space="preserve">Year</t>
  </si>
  <si>
    <t xml:space="preserve">Definition</t>
  </si>
  <si>
    <t xml:space="preserve">Males</t>
  </si>
  <si>
    <t xml:space="preserve">Females</t>
  </si>
  <si>
    <t xml:space="preserve">Total</t>
  </si>
  <si>
    <t xml:space="preserve">Population</t>
  </si>
  <si>
    <t xml:space="preserve">Austria *</t>
  </si>
  <si>
    <t xml:space="preserve">European definition for Special Mortality Register (SMR)</t>
  </si>
  <si>
    <t xml:space="preserve">Belgium</t>
  </si>
  <si>
    <t xml:space="preserve">Other (Specific Definition)</t>
  </si>
  <si>
    <t xml:space="preserve">Bulgaria *</t>
  </si>
  <si>
    <t xml:space="preserve">European definition for General Mortality Register (GMR)</t>
  </si>
  <si>
    <t xml:space="preserve">Croatia</t>
  </si>
  <si>
    <t xml:space="preserve">Cyprus</t>
  </si>
  <si>
    <t xml:space="preserve">Czechia</t>
  </si>
  <si>
    <t xml:space="preserve">Denmark</t>
  </si>
  <si>
    <t xml:space="preserve">Estonia</t>
  </si>
  <si>
    <t xml:space="preserve">Finland</t>
  </si>
  <si>
    <t xml:space="preserve">France *</t>
  </si>
  <si>
    <t xml:space="preserve">Germany</t>
  </si>
  <si>
    <t xml:space="preserve">Greece</t>
  </si>
  <si>
    <t xml:space="preserve">Hungary</t>
  </si>
  <si>
    <t xml:space="preserve">Ireland</t>
  </si>
  <si>
    <t xml:space="preserve">Italy</t>
  </si>
  <si>
    <t xml:space="preserve">Latvia</t>
  </si>
  <si>
    <t xml:space="preserve">Lithuania *</t>
  </si>
  <si>
    <t xml:space="preserve">Luxembourg</t>
  </si>
  <si>
    <t xml:space="preserve">Malta</t>
  </si>
  <si>
    <t xml:space="preserve">Netherlands</t>
  </si>
  <si>
    <t xml:space="preserve">Norway *</t>
  </si>
  <si>
    <t xml:space="preserve">Poland</t>
  </si>
  <si>
    <t xml:space="preserve">Portugal *</t>
  </si>
  <si>
    <t xml:space="preserve">Romania</t>
  </si>
  <si>
    <t xml:space="preserve">Slovakia</t>
  </si>
  <si>
    <t xml:space="preserve">Slovenia</t>
  </si>
  <si>
    <t xml:space="preserve">Spain *</t>
  </si>
  <si>
    <t xml:space="preserve">Sweden</t>
  </si>
  <si>
    <t xml:space="preserve">Türkiye</t>
  </si>
  <si>
    <t xml:space="preserve">(1) Comparisons between countries must be made with caution, because mortality rates and trends are influenced by factors such as practices of reporting, recording information and coding overdose cases that may vary across countries.</t>
  </si>
  <si>
    <t xml:space="preserve">(2) National definitions usually refer to acute deaths directly related to drug consumption ("overdoses", "poisonings" or "drug-induced"). Note that, in a few countries, the figures might include also a limited number of cases of deaths indirectly related to drug use (e.g. accidents with positive toxicology). Note in addition that in some countries, statistics published at national level may differ from those presented here, owing to differences of case definition used at national level.</t>
  </si>
  <si>
    <t xml:space="preserve">(3) General notes about interpreting the data are shown first, followed by notes which are specific to data in the table.</t>
  </si>
  <si>
    <t xml:space="preserve">(4) Austria: Since 2008, the official number of drug related deaths includes cases for which no autopsy was performed.</t>
  </si>
  <si>
    <t xml:space="preserve">(5) Bulgaria: From 2013 onwards, data refers to EUDA definition for General Mortality Register (previously called "Selection B").</t>
  </si>
  <si>
    <t xml:space="preserve">(6) Spain: data refers to an approximation of the EUDA definition for General Mortality Register previously called "Selection B" including X44, though T codes are not available. From 2024 reporting onwards, Spain uses the Special register as preferred source, i.e., based on the review of all deaths with judicial intervention by the Institutes of Legal Medicine. Estimated coverage is 100%.</t>
  </si>
  <si>
    <t xml:space="preserve">(7) France: Data are extracted according to a proxy of the European definition for the cases extracted from the General Mortality Registers. This is because T codes are not used in France, which does not allow the full application and operationalization of the protocol.  The adaptation consists therefore of including  the cases coded F11, F12, F14, F15, F16, F19; and also,  even in the absence of associated T-codes, X42, X62 and Y 12. From 2024 reporting onwards, France uses the Special Register (CEIP, DRAMES) as preferred source (vvoluntary reporting from forensic laboratories). In 2022, 61 experts from 32 institutions participated in the data collection, e.g. a coverage rate of 85% of French departements.</t>
  </si>
  <si>
    <t xml:space="preserve">(8) Lithuania: starting from publication year 2018, reported Lithuanian data are based on the EUDA definition for General Mortality Register previously called "Selection B" as National definition.</t>
  </si>
  <si>
    <t xml:space="preserve">(9) Norway: Until 2002 the national definition did not include "intentional poisoning" (ICD codes: X61, X62). From 2003 the definition for General Mortality Register previously called "Selection B" has become the national definition.</t>
  </si>
  <si>
    <t xml:space="preserve">(10) Portugal: starting from publication year 2019 reported Portuguese data are based on the EUDA definition for General Mortality Register previously called "Selection B" as National definition.</t>
  </si>
  <si>
    <t xml:space="preserve">(11) United Kingdom: data has not been validated with the UK authorities since leaving the EU at the end of the transition period.</t>
  </si>
  <si>
    <t xml:space="preserve">(12) United Kingdom: From 2013 onwards, data refers to EUDA definition for General Mortality Register previously called "Selection B" whereas before data based on the Drug Strategy Definition (DSD) were used.</t>
  </si>
  <si>
    <t xml:space="preserve">(13) United Kingdom: The UK has made several changes for 2015 reporting for this definition: 1) The UK Focal Point has chosen to change reporting for England &amp; Wales to report by the year deaths occurred rather than the year of registration.  This is to give internal consistency with figures from Scotland, as England &amp; Wales experiences lengthy delays in registration of deaths while Scotland does not.  However, this means that the latest available reporting year is 2017, as this is the latest year for which it can be assumed that the large majority of deaths in England &amp; Wales have now been registered.  Figures for last reporting years will need to be revised for next reporting to take into account any very late registrations. 2) Deaths with an underlying cause of death of X44, X64 and Y14 alongside relevant T-codes have been incorporated into UK figures, to fully apply the EUDA definition for drug-related deaths extracted from General mortality registers (previously called "Selection B"). Due to historical coding practice in England &amp; Wales, this has substantially increased the number of deaths counted under this definition currently and historically. Figures for Scotland have also been revised, although there are very few cases under this definition, while deaths for Northern Ireland with these codes have been reported previously. 3) Responsibility for calculation of England and Wales figures has moved from Office of national Statistics (ONS) to be calculated in-house by the UK Focal Point, via Public Health England and Public Health Wales.  This has led to the exclusion of non-residents of England and Wales for reporting for those countries.</t>
  </si>
  <si>
    <t xml:space="preserve">(14) United Kingdom: data 2017 do not include Northern Ireland cases.</t>
  </si>
  <si>
    <t xml:space="preserve">Crude_rate</t>
  </si>
  <si>
    <t xml:space="preserve">Alabama</t>
  </si>
  <si>
    <t xml:space="preserve">Alaska</t>
  </si>
  <si>
    <t xml:space="preserve">Arizona</t>
  </si>
  <si>
    <t xml:space="preserve">Arkansas</t>
  </si>
  <si>
    <t xml:space="preserve">California</t>
  </si>
  <si>
    <t xml:space="preserve">Colorado</t>
  </si>
  <si>
    <t xml:space="preserve">Connecticut</t>
  </si>
  <si>
    <t xml:space="preserve">Delaware</t>
  </si>
  <si>
    <t xml:space="preserve">District of Columbia</t>
  </si>
  <si>
    <t xml:space="preserve">Florida</t>
  </si>
  <si>
    <t xml:space="preserve">Georgia</t>
  </si>
  <si>
    <t xml:space="preserve">Hawaii</t>
  </si>
  <si>
    <t xml:space="preserve">Idaho</t>
  </si>
  <si>
    <t xml:space="preserve">Illinois</t>
  </si>
  <si>
    <t xml:space="preserve">Indiana</t>
  </si>
  <si>
    <t xml:space="preserve">Iowa</t>
  </si>
  <si>
    <t xml:space="preserve">Kansas</t>
  </si>
  <si>
    <t xml:space="preserve">Kentucky</t>
  </si>
  <si>
    <t xml:space="preserve">Louisiana</t>
  </si>
  <si>
    <t xml:space="preserve">Maine</t>
  </si>
  <si>
    <t xml:space="preserve">Maryland</t>
  </si>
  <si>
    <t xml:space="preserve">Massachusetts</t>
  </si>
  <si>
    <t xml:space="preserve">Michigan</t>
  </si>
  <si>
    <t xml:space="preserve">Minnesota</t>
  </si>
  <si>
    <t xml:space="preserve">Mississippi</t>
  </si>
  <si>
    <t xml:space="preserve">Missouri</t>
  </si>
  <si>
    <t xml:space="preserve">Montana</t>
  </si>
  <si>
    <t xml:space="preserve">Nebraska</t>
  </si>
  <si>
    <t xml:space="preserve">Nevada</t>
  </si>
  <si>
    <t xml:space="preserve">New Hampshire</t>
  </si>
  <si>
    <t xml:space="preserve">New Jersey</t>
  </si>
  <si>
    <t xml:space="preserve">New Mexico</t>
  </si>
  <si>
    <t xml:space="preserve">New York</t>
  </si>
  <si>
    <t xml:space="preserve">North Carolina</t>
  </si>
  <si>
    <t xml:space="preserve">North Dakota</t>
  </si>
  <si>
    <t xml:space="preserve">Ohio</t>
  </si>
  <si>
    <t xml:space="preserve">Oklahoma</t>
  </si>
  <si>
    <t xml:space="preserve">Oregon</t>
  </si>
  <si>
    <t xml:space="preserve">Pennsylvania</t>
  </si>
  <si>
    <t xml:space="preserve">Rhode Island</t>
  </si>
  <si>
    <t xml:space="preserve">South Carolina</t>
  </si>
  <si>
    <t xml:space="preserve">South Dakota</t>
  </si>
  <si>
    <t xml:space="preserve">Tennessee</t>
  </si>
  <si>
    <t xml:space="preserve">Texas</t>
  </si>
  <si>
    <t xml:space="preserve">Utah</t>
  </si>
  <si>
    <t xml:space="preserve">Vermont</t>
  </si>
  <si>
    <t xml:space="preserve">Virginia</t>
  </si>
  <si>
    <t xml:space="preserve">Washington</t>
  </si>
  <si>
    <t xml:space="preserve">West Virginia</t>
  </si>
  <si>
    <t xml:space="preserve">Wisconsin</t>
  </si>
  <si>
    <t xml:space="preserve">Wyoming</t>
  </si>
</sst>
</file>

<file path=xl/styles.xml><?xml version="1.0" encoding="utf-8"?>
<styleSheet xmlns="http://schemas.openxmlformats.org/spreadsheetml/2006/main">
  <numFmts count="1">
    <numFmt numFmtId="164" formatCode="General"/>
  </numFmts>
  <fonts count="7">
    <font>
      <sz val="10"/>
      <name val="Arial"/>
      <family val="2"/>
    </font>
    <font>
      <sz val="10"/>
      <name val="Arial"/>
      <family val="0"/>
    </font>
    <font>
      <sz val="10"/>
      <name val="Arial"/>
      <family val="0"/>
    </font>
    <font>
      <sz val="10"/>
      <name val="Arial"/>
      <family val="0"/>
    </font>
    <font>
      <b val="true"/>
      <sz val="18"/>
      <color rgb="FF000000"/>
      <name val="Calibri"/>
      <family val="0"/>
    </font>
    <font>
      <b val="true"/>
      <sz val="12"/>
      <color rgb="FF000000"/>
      <name val="Calibri"/>
      <family val="0"/>
    </font>
    <font>
      <sz val="9"/>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6796875" defaultRowHeight="15" customHeight="true" zeroHeight="false" outlineLevelRow="0" outlineLevelCol="0"/>
  <cols>
    <col collapsed="false" customWidth="true" hidden="false" outlineLevel="0" max="1" min="1" style="0" width="16"/>
    <col collapsed="false" customWidth="true" hidden="true" outlineLevel="0" max="3" min="3" style="0" width="47.07"/>
  </cols>
  <sheetData>
    <row r="2" customFormat="false" ht="22.05" hidden="false" customHeight="false" outlineLevel="0" collapsed="false">
      <c r="A2" s="1" t="s">
        <v>0</v>
      </c>
      <c r="B2" s="1"/>
      <c r="C2" s="1"/>
      <c r="D2" s="1"/>
      <c r="E2" s="1"/>
      <c r="F2" s="1"/>
      <c r="G2" s="1"/>
    </row>
    <row r="4" customFormat="false" ht="15" hidden="false" customHeight="false" outlineLevel="0" collapsed="false">
      <c r="A4" s="2" t="s">
        <v>1</v>
      </c>
      <c r="B4" s="2" t="s">
        <v>2</v>
      </c>
      <c r="C4" s="2" t="s">
        <v>3</v>
      </c>
      <c r="D4" s="2" t="s">
        <v>4</v>
      </c>
      <c r="E4" s="2" t="s">
        <v>5</v>
      </c>
      <c r="F4" s="2" t="s">
        <v>6</v>
      </c>
      <c r="G4" s="2" t="s">
        <v>7</v>
      </c>
    </row>
    <row r="5" customFormat="false" ht="15" hidden="false" customHeight="false" outlineLevel="0" collapsed="false">
      <c r="A5" s="0" t="s">
        <v>8</v>
      </c>
      <c r="B5" s="0" t="n">
        <v>2023</v>
      </c>
      <c r="C5" s="0" t="s">
        <v>9</v>
      </c>
      <c r="D5" s="0" t="n">
        <v>127</v>
      </c>
      <c r="E5" s="0" t="n">
        <v>52</v>
      </c>
      <c r="F5" s="0" t="n">
        <v>179</v>
      </c>
      <c r="G5" s="0" t="n">
        <v>9104772</v>
      </c>
    </row>
    <row r="6" customFormat="false" ht="15" hidden="false" customHeight="false" outlineLevel="0" collapsed="false">
      <c r="A6" s="0" t="s">
        <v>10</v>
      </c>
      <c r="B6" s="0" t="n">
        <v>2021</v>
      </c>
      <c r="C6" s="0" t="s">
        <v>11</v>
      </c>
      <c r="D6" s="0" t="n">
        <v>18</v>
      </c>
      <c r="E6" s="0" t="n">
        <v>5</v>
      </c>
      <c r="F6" s="0" t="n">
        <v>23</v>
      </c>
      <c r="G6" s="0" t="n">
        <v>11554767</v>
      </c>
    </row>
    <row r="7" customFormat="false" ht="15" hidden="false" customHeight="false" outlineLevel="0" collapsed="false">
      <c r="A7" s="0" t="s">
        <v>12</v>
      </c>
      <c r="B7" s="0" t="n">
        <v>2023</v>
      </c>
      <c r="C7" s="0" t="s">
        <v>13</v>
      </c>
      <c r="D7" s="0" t="n">
        <v>6</v>
      </c>
      <c r="E7" s="0" t="n">
        <v>1</v>
      </c>
      <c r="F7" s="0" t="n">
        <v>7</v>
      </c>
      <c r="G7" s="0" t="n">
        <v>6447710</v>
      </c>
    </row>
    <row r="8" customFormat="false" ht="15" hidden="false" customHeight="false" outlineLevel="0" collapsed="false">
      <c r="A8" s="0" t="s">
        <v>14</v>
      </c>
      <c r="B8" s="0" t="n">
        <v>2023</v>
      </c>
      <c r="C8" s="0" t="s">
        <v>13</v>
      </c>
      <c r="D8" s="0" t="n">
        <v>57</v>
      </c>
      <c r="E8" s="0" t="n">
        <v>9</v>
      </c>
      <c r="F8" s="0" t="n">
        <v>66</v>
      </c>
      <c r="G8" s="0" t="n">
        <v>3850894</v>
      </c>
    </row>
    <row r="9" customFormat="false" ht="15" hidden="false" customHeight="false" outlineLevel="0" collapsed="false">
      <c r="A9" s="0" t="s">
        <v>15</v>
      </c>
      <c r="B9" s="0" t="n">
        <v>2023</v>
      </c>
      <c r="C9" s="0" t="s">
        <v>9</v>
      </c>
      <c r="D9" s="0" t="n">
        <v>1</v>
      </c>
      <c r="E9" s="0" t="n">
        <v>1</v>
      </c>
      <c r="F9" s="0" t="n">
        <v>2</v>
      </c>
      <c r="G9" s="0" t="n">
        <v>949084</v>
      </c>
    </row>
    <row r="10" customFormat="false" ht="15" hidden="false" customHeight="false" outlineLevel="0" collapsed="false">
      <c r="A10" s="0" t="s">
        <v>16</v>
      </c>
      <c r="B10" s="0" t="n">
        <v>2023</v>
      </c>
      <c r="C10" s="0" t="s">
        <v>9</v>
      </c>
      <c r="D10" s="0" t="n">
        <v>15</v>
      </c>
      <c r="E10" s="0" t="n">
        <v>11</v>
      </c>
      <c r="F10" s="0" t="n">
        <v>26</v>
      </c>
      <c r="G10" s="0" t="n">
        <v>10827529</v>
      </c>
    </row>
    <row r="11" customFormat="false" ht="15" hidden="false" customHeight="false" outlineLevel="0" collapsed="false">
      <c r="A11" s="0" t="s">
        <v>17</v>
      </c>
      <c r="B11" s="0" t="n">
        <v>2022</v>
      </c>
      <c r="C11" s="0" t="s">
        <v>13</v>
      </c>
      <c r="D11" s="0" t="n">
        <v>136</v>
      </c>
      <c r="E11" s="0" t="n">
        <v>55</v>
      </c>
      <c r="F11" s="0" t="n">
        <v>191</v>
      </c>
      <c r="G11" s="0" t="n">
        <v>5873420</v>
      </c>
    </row>
    <row r="12" customFormat="false" ht="15" hidden="false" customHeight="false" outlineLevel="0" collapsed="false">
      <c r="A12" s="0" t="s">
        <v>18</v>
      </c>
      <c r="B12" s="0" t="n">
        <v>2023</v>
      </c>
      <c r="C12" s="0" t="s">
        <v>13</v>
      </c>
      <c r="D12" s="0" t="n">
        <v>77</v>
      </c>
      <c r="E12" s="0" t="n">
        <v>24</v>
      </c>
      <c r="F12" s="0" t="n">
        <v>101</v>
      </c>
      <c r="G12" s="0" t="n">
        <v>1365884</v>
      </c>
    </row>
    <row r="13" customFormat="false" ht="15" hidden="false" customHeight="false" outlineLevel="0" collapsed="false">
      <c r="A13" s="0" t="s">
        <v>19</v>
      </c>
      <c r="B13" s="0" t="n">
        <v>2023</v>
      </c>
      <c r="C13" s="0" t="s">
        <v>13</v>
      </c>
      <c r="D13" s="0" t="n">
        <v>170</v>
      </c>
      <c r="E13" s="0" t="n">
        <v>40</v>
      </c>
      <c r="F13" s="0" t="n">
        <v>210</v>
      </c>
      <c r="G13" s="0" t="n">
        <v>5563970</v>
      </c>
    </row>
    <row r="14" customFormat="false" ht="15" hidden="false" customHeight="false" outlineLevel="0" collapsed="false">
      <c r="A14" s="0" t="s">
        <v>20</v>
      </c>
      <c r="B14" s="0" t="n">
        <v>2022</v>
      </c>
      <c r="C14" s="0" t="s">
        <v>11</v>
      </c>
      <c r="D14" s="0" t="n">
        <v>406</v>
      </c>
      <c r="E14" s="0" t="n">
        <v>93</v>
      </c>
      <c r="F14" s="0" t="n">
        <v>499</v>
      </c>
      <c r="G14" s="0" t="n">
        <v>68091703</v>
      </c>
    </row>
    <row r="15" customFormat="false" ht="15" hidden="false" customHeight="false" outlineLevel="0" collapsed="false">
      <c r="A15" s="0" t="s">
        <v>21</v>
      </c>
      <c r="B15" s="0" t="n">
        <v>2023</v>
      </c>
      <c r="C15" s="0" t="s">
        <v>9</v>
      </c>
      <c r="D15" s="0" t="n">
        <v>970</v>
      </c>
      <c r="E15" s="0" t="n">
        <v>227</v>
      </c>
      <c r="F15" s="0" t="n">
        <v>1197</v>
      </c>
      <c r="G15" s="0" t="n">
        <v>83118501</v>
      </c>
    </row>
    <row r="16" customFormat="false" ht="15" hidden="false" customHeight="false" outlineLevel="0" collapsed="false">
      <c r="A16" s="0" t="s">
        <v>22</v>
      </c>
      <c r="B16" s="0" t="n">
        <v>2021</v>
      </c>
      <c r="C16" s="0" t="s">
        <v>13</v>
      </c>
      <c r="D16" s="0" t="n">
        <v>188</v>
      </c>
      <c r="E16" s="0" t="n">
        <v>23</v>
      </c>
      <c r="F16" s="0" t="n">
        <v>211</v>
      </c>
      <c r="G16" s="3" t="n">
        <v>10555344</v>
      </c>
    </row>
    <row r="17" customFormat="false" ht="15" hidden="false" customHeight="false" outlineLevel="0" collapsed="false">
      <c r="A17" s="0" t="s">
        <v>23</v>
      </c>
      <c r="B17" s="0" t="n">
        <v>2023</v>
      </c>
      <c r="C17" s="0" t="s">
        <v>9</v>
      </c>
      <c r="D17" s="0" t="n">
        <v>6</v>
      </c>
      <c r="E17" s="0" t="n">
        <v>1</v>
      </c>
      <c r="F17" s="0" t="n">
        <v>7</v>
      </c>
      <c r="G17" s="3" t="n">
        <v>9599744</v>
      </c>
    </row>
    <row r="18" customFormat="false" ht="15" hidden="false" customHeight="false" outlineLevel="0" collapsed="false">
      <c r="A18" s="0" t="s">
        <v>24</v>
      </c>
      <c r="B18" s="0" t="n">
        <v>2021</v>
      </c>
      <c r="C18" s="0" t="s">
        <v>9</v>
      </c>
      <c r="D18" s="0" t="n">
        <v>161</v>
      </c>
      <c r="E18" s="0" t="n">
        <v>83</v>
      </c>
      <c r="F18" s="0" t="n">
        <v>244</v>
      </c>
      <c r="G18" s="3" t="n">
        <v>5066893</v>
      </c>
    </row>
    <row r="19" customFormat="false" ht="15" hidden="false" customHeight="false" outlineLevel="0" collapsed="false">
      <c r="A19" s="0" t="s">
        <v>25</v>
      </c>
      <c r="B19" s="0" t="n">
        <v>2023</v>
      </c>
      <c r="C19" s="0" t="s">
        <v>9</v>
      </c>
      <c r="D19" s="0" t="n">
        <v>87</v>
      </c>
      <c r="E19" s="0" t="n">
        <v>17</v>
      </c>
      <c r="F19" s="0" t="n">
        <v>104</v>
      </c>
      <c r="G19" s="3" t="n">
        <v>58997201</v>
      </c>
    </row>
    <row r="20" customFormat="false" ht="15" hidden="false" customHeight="false" outlineLevel="0" collapsed="false">
      <c r="A20" s="0" t="s">
        <v>26</v>
      </c>
      <c r="B20" s="0" t="n">
        <v>2023</v>
      </c>
      <c r="C20" s="0" t="s">
        <v>13</v>
      </c>
      <c r="D20" s="0" t="n">
        <v>101</v>
      </c>
      <c r="E20" s="0" t="n">
        <v>20</v>
      </c>
      <c r="F20" s="0" t="n">
        <v>121</v>
      </c>
      <c r="G20" s="3" t="n">
        <v>1895239</v>
      </c>
    </row>
    <row r="21" customFormat="false" ht="15" hidden="false" customHeight="false" outlineLevel="0" collapsed="false">
      <c r="A21" s="0" t="s">
        <v>27</v>
      </c>
      <c r="B21" s="0" t="n">
        <v>2023</v>
      </c>
      <c r="C21" s="0" t="s">
        <v>13</v>
      </c>
      <c r="D21" s="0" t="n">
        <v>33</v>
      </c>
      <c r="E21" s="0" t="n">
        <v>7</v>
      </c>
      <c r="F21" s="0" t="n">
        <v>40</v>
      </c>
      <c r="G21" s="3" t="n">
        <v>2857279</v>
      </c>
    </row>
    <row r="22" customFormat="false" ht="15" hidden="false" customHeight="false" outlineLevel="0" collapsed="false">
      <c r="A22" s="0" t="s">
        <v>28</v>
      </c>
      <c r="B22" s="0" t="n">
        <v>2023</v>
      </c>
      <c r="C22" s="0" t="s">
        <v>11</v>
      </c>
      <c r="D22" s="0" t="n">
        <v>5</v>
      </c>
      <c r="E22" s="0" t="n">
        <v>2</v>
      </c>
      <c r="F22" s="0" t="n">
        <v>7</v>
      </c>
      <c r="G22" s="3" t="n">
        <v>660809</v>
      </c>
    </row>
    <row r="23" customFormat="false" ht="15" hidden="false" customHeight="false" outlineLevel="0" collapsed="false">
      <c r="A23" s="0" t="s">
        <v>29</v>
      </c>
      <c r="B23" s="0" t="n">
        <v>2023</v>
      </c>
      <c r="C23" s="0" t="s">
        <v>13</v>
      </c>
      <c r="D23" s="0" t="n">
        <v>4</v>
      </c>
      <c r="E23" s="0" t="n">
        <v>1</v>
      </c>
      <c r="F23" s="0" t="n">
        <v>5</v>
      </c>
      <c r="G23" s="3" t="n">
        <v>542051</v>
      </c>
    </row>
    <row r="24" customFormat="false" ht="15" hidden="false" customHeight="false" outlineLevel="0" collapsed="false">
      <c r="A24" s="0" t="s">
        <v>30</v>
      </c>
      <c r="B24" s="0" t="n">
        <v>2023</v>
      </c>
      <c r="C24" s="0" t="s">
        <v>13</v>
      </c>
      <c r="D24" s="0" t="n">
        <v>0</v>
      </c>
      <c r="E24" s="0" t="n">
        <v>0</v>
      </c>
      <c r="F24" s="0" t="n">
        <v>178</v>
      </c>
      <c r="G24" s="3" t="n">
        <v>17811291</v>
      </c>
    </row>
    <row r="25" customFormat="false" ht="15" hidden="false" customHeight="false" outlineLevel="0" collapsed="false">
      <c r="A25" s="0" t="s">
        <v>31</v>
      </c>
      <c r="B25" s="0" t="n">
        <v>2023</v>
      </c>
      <c r="C25" s="0" t="s">
        <v>13</v>
      </c>
      <c r="D25" s="0" t="n">
        <v>0</v>
      </c>
      <c r="E25" s="0" t="n">
        <v>0</v>
      </c>
      <c r="F25" s="0" t="n">
        <v>291</v>
      </c>
      <c r="G25" s="3" t="n">
        <v>5488984</v>
      </c>
    </row>
    <row r="26" customFormat="false" ht="15" hidden="false" customHeight="false" outlineLevel="0" collapsed="false">
      <c r="A26" s="0" t="s">
        <v>32</v>
      </c>
    </row>
    <row r="27" customFormat="false" ht="15" hidden="false" customHeight="false" outlineLevel="0" collapsed="false">
      <c r="A27" s="0" t="s">
        <v>33</v>
      </c>
      <c r="B27" s="0" t="n">
        <v>2015</v>
      </c>
      <c r="C27" s="0" t="s">
        <v>13</v>
      </c>
      <c r="D27" s="0" t="n">
        <v>20</v>
      </c>
      <c r="E27" s="0" t="n">
        <v>7</v>
      </c>
      <c r="F27" s="0" t="n">
        <v>27</v>
      </c>
      <c r="G27" s="0" t="n">
        <v>10395121</v>
      </c>
    </row>
    <row r="28" customFormat="false" ht="15" hidden="false" customHeight="false" outlineLevel="0" collapsed="false">
      <c r="A28" s="0" t="s">
        <v>34</v>
      </c>
      <c r="B28" s="0" t="n">
        <v>2023</v>
      </c>
      <c r="C28" s="0" t="s">
        <v>9</v>
      </c>
      <c r="D28" s="0" t="n">
        <v>16</v>
      </c>
      <c r="E28" s="0" t="n">
        <v>2</v>
      </c>
      <c r="F28" s="0" t="n">
        <v>18</v>
      </c>
      <c r="G28" s="3" t="n">
        <v>19055228</v>
      </c>
    </row>
    <row r="29" customFormat="false" ht="15" hidden="false" customHeight="false" outlineLevel="0" collapsed="false">
      <c r="A29" s="0" t="s">
        <v>35</v>
      </c>
      <c r="B29" s="0" t="n">
        <v>2023</v>
      </c>
      <c r="C29" s="0" t="s">
        <v>9</v>
      </c>
      <c r="D29" s="0" t="n">
        <v>19</v>
      </c>
      <c r="E29" s="0" t="n">
        <v>5</v>
      </c>
      <c r="F29" s="0" t="n">
        <v>24</v>
      </c>
      <c r="G29" s="3" t="n">
        <v>5428792</v>
      </c>
    </row>
    <row r="30" customFormat="false" ht="15" hidden="false" customHeight="false" outlineLevel="0" collapsed="false">
      <c r="A30" s="0" t="s">
        <v>36</v>
      </c>
      <c r="B30" s="0" t="n">
        <v>2023</v>
      </c>
      <c r="C30" s="0" t="s">
        <v>13</v>
      </c>
      <c r="D30" s="0" t="n">
        <v>41</v>
      </c>
      <c r="E30" s="0" t="n">
        <v>13</v>
      </c>
      <c r="F30" s="0" t="n">
        <v>54</v>
      </c>
      <c r="G30" s="3" t="n">
        <v>2116972</v>
      </c>
    </row>
    <row r="31" customFormat="false" ht="15" hidden="false" customHeight="false" outlineLevel="0" collapsed="false">
      <c r="A31" s="0" t="s">
        <v>37</v>
      </c>
      <c r="B31" s="0" t="n">
        <v>2022</v>
      </c>
      <c r="C31" s="0" t="s">
        <v>9</v>
      </c>
      <c r="D31" s="0" t="n">
        <v>396</v>
      </c>
      <c r="E31" s="0" t="n">
        <v>133</v>
      </c>
      <c r="F31" s="0" t="n">
        <v>531</v>
      </c>
      <c r="G31" s="3" t="n">
        <v>47486843</v>
      </c>
    </row>
    <row r="32" customFormat="false" ht="15" hidden="false" customHeight="false" outlineLevel="0" collapsed="false">
      <c r="A32" s="0" t="s">
        <v>38</v>
      </c>
      <c r="B32" s="0" t="n">
        <v>2023</v>
      </c>
      <c r="C32" s="0" t="s">
        <v>13</v>
      </c>
      <c r="D32" s="0" t="n">
        <v>247</v>
      </c>
      <c r="E32" s="0" t="n">
        <v>129</v>
      </c>
      <c r="F32" s="0" t="n">
        <v>376</v>
      </c>
      <c r="G32" s="3" t="n">
        <v>10521556</v>
      </c>
    </row>
    <row r="33" customFormat="false" ht="15" hidden="false" customHeight="false" outlineLevel="0" collapsed="false">
      <c r="A33" s="0" t="s">
        <v>39</v>
      </c>
      <c r="B33" s="0" t="n">
        <v>2023</v>
      </c>
      <c r="C33" s="0" t="s">
        <v>9</v>
      </c>
      <c r="D33" s="0" t="n">
        <v>59</v>
      </c>
      <c r="E33" s="0" t="n">
        <v>6</v>
      </c>
      <c r="F33" s="0" t="n">
        <v>65</v>
      </c>
      <c r="G33" s="3" t="n">
        <v>85279553</v>
      </c>
    </row>
    <row r="35" customFormat="false" ht="15" hidden="false" customHeight="false" outlineLevel="0" collapsed="false">
      <c r="A35" s="4" t="s">
        <v>40</v>
      </c>
      <c r="B35" s="4"/>
      <c r="C35" s="4"/>
      <c r="D35" s="4"/>
      <c r="E35" s="4"/>
      <c r="F35" s="4"/>
      <c r="G35" s="4"/>
    </row>
    <row r="36" customFormat="false" ht="15" hidden="false" customHeight="false" outlineLevel="0" collapsed="false">
      <c r="A36" s="4" t="s">
        <v>41</v>
      </c>
      <c r="B36" s="4"/>
      <c r="C36" s="4"/>
      <c r="D36" s="4"/>
      <c r="E36" s="4"/>
      <c r="F36" s="4"/>
      <c r="G36" s="4"/>
    </row>
    <row r="37" customFormat="false" ht="15" hidden="false" customHeight="false" outlineLevel="0" collapsed="false">
      <c r="A37" s="4" t="s">
        <v>42</v>
      </c>
      <c r="B37" s="4"/>
      <c r="C37" s="4"/>
      <c r="D37" s="4"/>
      <c r="E37" s="4"/>
      <c r="F37" s="4"/>
      <c r="G37" s="4"/>
    </row>
    <row r="38" customFormat="false" ht="15" hidden="false" customHeight="false" outlineLevel="0" collapsed="false">
      <c r="A38" s="4" t="s">
        <v>43</v>
      </c>
      <c r="B38" s="4"/>
      <c r="C38" s="4"/>
      <c r="D38" s="4"/>
      <c r="E38" s="4"/>
      <c r="F38" s="4"/>
      <c r="G38" s="4"/>
    </row>
    <row r="39" customFormat="false" ht="15" hidden="false" customHeight="false" outlineLevel="0" collapsed="false">
      <c r="A39" s="4" t="s">
        <v>44</v>
      </c>
      <c r="B39" s="4"/>
      <c r="C39" s="4"/>
      <c r="D39" s="4"/>
      <c r="E39" s="4"/>
      <c r="F39" s="4"/>
      <c r="G39" s="4"/>
    </row>
    <row r="40" customFormat="false" ht="15" hidden="false" customHeight="false" outlineLevel="0" collapsed="false">
      <c r="A40" s="4" t="s">
        <v>45</v>
      </c>
      <c r="B40" s="4"/>
      <c r="C40" s="4"/>
      <c r="D40" s="4"/>
      <c r="E40" s="4"/>
      <c r="F40" s="4"/>
      <c r="G40" s="4"/>
    </row>
    <row r="41" customFormat="false" ht="15" hidden="false" customHeight="false" outlineLevel="0" collapsed="false">
      <c r="A41" s="4" t="s">
        <v>46</v>
      </c>
      <c r="B41" s="4"/>
      <c r="C41" s="4"/>
      <c r="D41" s="4"/>
      <c r="E41" s="4"/>
      <c r="F41" s="4"/>
      <c r="G41" s="4"/>
    </row>
    <row r="42" customFormat="false" ht="15" hidden="false" customHeight="false" outlineLevel="0" collapsed="false">
      <c r="A42" s="4" t="s">
        <v>47</v>
      </c>
      <c r="B42" s="4"/>
      <c r="C42" s="4"/>
      <c r="D42" s="4"/>
      <c r="E42" s="4"/>
      <c r="F42" s="4"/>
      <c r="G42" s="4"/>
    </row>
    <row r="43" customFormat="false" ht="15" hidden="false" customHeight="false" outlineLevel="0" collapsed="false">
      <c r="A43" s="4" t="s">
        <v>48</v>
      </c>
      <c r="B43" s="4"/>
      <c r="C43" s="4"/>
      <c r="D43" s="4"/>
      <c r="E43" s="4"/>
      <c r="F43" s="4"/>
      <c r="G43" s="4"/>
    </row>
    <row r="44" customFormat="false" ht="15" hidden="false" customHeight="false" outlineLevel="0" collapsed="false">
      <c r="A44" s="4" t="s">
        <v>49</v>
      </c>
      <c r="B44" s="4"/>
      <c r="C44" s="4"/>
      <c r="D44" s="4"/>
      <c r="E44" s="4"/>
      <c r="F44" s="4"/>
      <c r="G44" s="4"/>
    </row>
    <row r="45" customFormat="false" ht="15" hidden="false" customHeight="false" outlineLevel="0" collapsed="false">
      <c r="A45" s="4" t="s">
        <v>50</v>
      </c>
      <c r="B45" s="4"/>
      <c r="C45" s="4"/>
      <c r="D45" s="4"/>
      <c r="E45" s="4"/>
      <c r="F45" s="4"/>
      <c r="G45" s="4"/>
    </row>
    <row r="46" customFormat="false" ht="15" hidden="false" customHeight="false" outlineLevel="0" collapsed="false">
      <c r="A46" s="4" t="s">
        <v>51</v>
      </c>
      <c r="B46" s="4"/>
      <c r="C46" s="4"/>
      <c r="D46" s="4"/>
      <c r="E46" s="4"/>
      <c r="F46" s="4"/>
      <c r="G46" s="4"/>
    </row>
    <row r="47" customFormat="false" ht="15" hidden="false" customHeight="false" outlineLevel="0" collapsed="false">
      <c r="A47" s="4" t="s">
        <v>52</v>
      </c>
      <c r="B47" s="4"/>
      <c r="C47" s="4"/>
      <c r="D47" s="4"/>
      <c r="E47" s="4"/>
      <c r="F47" s="4"/>
      <c r="G47" s="4"/>
    </row>
    <row r="48" customFormat="false" ht="15" hidden="false" customHeight="false" outlineLevel="0" collapsed="false">
      <c r="A48" s="4" t="s">
        <v>53</v>
      </c>
      <c r="B48" s="4"/>
      <c r="C48" s="4"/>
      <c r="D48" s="4"/>
      <c r="E48" s="4"/>
      <c r="F48" s="4"/>
      <c r="G48" s="4"/>
    </row>
  </sheetData>
  <mergeCells count="15">
    <mergeCell ref="A2:G2"/>
    <mergeCell ref="A35:G35"/>
    <mergeCell ref="A36:G36"/>
    <mergeCell ref="A37:G37"/>
    <mergeCell ref="A38:G38"/>
    <mergeCell ref="A39:G39"/>
    <mergeCell ref="A40:G40"/>
    <mergeCell ref="A41:G41"/>
    <mergeCell ref="A42:G42"/>
    <mergeCell ref="A43:G43"/>
    <mergeCell ref="A44:G44"/>
    <mergeCell ref="A45:G45"/>
    <mergeCell ref="A46:G46"/>
    <mergeCell ref="A47:G47"/>
    <mergeCell ref="A48:G4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86" activeCellId="0" sqref="E86"/>
    </sheetView>
  </sheetViews>
  <sheetFormatPr defaultColWidth="11.53515625" defaultRowHeight="12.8" customHeight="true" zeroHeight="false" outlineLevelRow="0" outlineLevelCol="0"/>
  <sheetData>
    <row r="1" customFormat="false" ht="15" hidden="false" customHeight="false" outlineLevel="0" collapsed="false">
      <c r="A1" s="2" t="s">
        <v>1</v>
      </c>
      <c r="B1" s="2" t="s">
        <v>2</v>
      </c>
      <c r="C1" s="2" t="s">
        <v>6</v>
      </c>
      <c r="D1" s="2" t="s">
        <v>7</v>
      </c>
      <c r="E1" s="0" t="s">
        <v>54</v>
      </c>
    </row>
    <row r="2" customFormat="false" ht="12.8" hidden="false" customHeight="false" outlineLevel="0" collapsed="false">
      <c r="A2" s="0" t="s">
        <v>8</v>
      </c>
      <c r="B2" s="0" t="n">
        <v>2023</v>
      </c>
      <c r="C2" s="0" t="n">
        <v>179</v>
      </c>
      <c r="D2" s="0" t="n">
        <v>9104772</v>
      </c>
      <c r="E2" s="0" t="n">
        <f aca="false">C2/D2*100000</f>
        <v>1.96600200422372</v>
      </c>
    </row>
    <row r="3" customFormat="false" ht="12.8" hidden="false" customHeight="false" outlineLevel="0" collapsed="false">
      <c r="A3" s="0" t="s">
        <v>10</v>
      </c>
      <c r="B3" s="0" t="n">
        <v>2021</v>
      </c>
      <c r="C3" s="0" t="n">
        <v>23</v>
      </c>
      <c r="D3" s="0" t="n">
        <v>11554767</v>
      </c>
      <c r="E3" s="0" t="n">
        <f aca="false">C3/D3*100000</f>
        <v>0.199052044926566</v>
      </c>
    </row>
    <row r="4" customFormat="false" ht="12.8" hidden="false" customHeight="false" outlineLevel="0" collapsed="false">
      <c r="A4" s="0" t="s">
        <v>12</v>
      </c>
      <c r="B4" s="0" t="n">
        <v>2023</v>
      </c>
      <c r="C4" s="0" t="n">
        <v>7</v>
      </c>
      <c r="D4" s="0" t="n">
        <v>6447710</v>
      </c>
      <c r="E4" s="0" t="n">
        <f aca="false">C4/D4*100000</f>
        <v>0.108565676806184</v>
      </c>
    </row>
    <row r="5" customFormat="false" ht="12.8" hidden="false" customHeight="false" outlineLevel="0" collapsed="false">
      <c r="A5" s="0" t="s">
        <v>14</v>
      </c>
      <c r="B5" s="0" t="n">
        <v>2023</v>
      </c>
      <c r="C5" s="0" t="n">
        <v>66</v>
      </c>
      <c r="D5" s="0" t="n">
        <v>3850894</v>
      </c>
      <c r="E5" s="0" t="n">
        <f aca="false">C5/D5*100000</f>
        <v>1.7138877361984</v>
      </c>
    </row>
    <row r="6" customFormat="false" ht="12.8" hidden="false" customHeight="false" outlineLevel="0" collapsed="false">
      <c r="A6" s="0" t="s">
        <v>15</v>
      </c>
      <c r="B6" s="0" t="n">
        <v>2023</v>
      </c>
      <c r="C6" s="0" t="n">
        <v>2</v>
      </c>
      <c r="D6" s="0" t="n">
        <v>949084</v>
      </c>
      <c r="E6" s="0" t="n">
        <f aca="false">C6/D6*100000</f>
        <v>0.210729503394852</v>
      </c>
    </row>
    <row r="7" customFormat="false" ht="12.8" hidden="false" customHeight="false" outlineLevel="0" collapsed="false">
      <c r="A7" s="0" t="s">
        <v>16</v>
      </c>
      <c r="B7" s="0" t="n">
        <v>2023</v>
      </c>
      <c r="C7" s="0" t="n">
        <v>26</v>
      </c>
      <c r="D7" s="0" t="n">
        <v>10827529</v>
      </c>
      <c r="E7" s="0" t="n">
        <f aca="false">C7/D7*100000</f>
        <v>0.240128657240262</v>
      </c>
    </row>
    <row r="8" customFormat="false" ht="12.8" hidden="false" customHeight="false" outlineLevel="0" collapsed="false">
      <c r="A8" s="0" t="s">
        <v>17</v>
      </c>
      <c r="B8" s="0" t="n">
        <v>2022</v>
      </c>
      <c r="C8" s="0" t="n">
        <v>191</v>
      </c>
      <c r="D8" s="0" t="n">
        <v>5873420</v>
      </c>
      <c r="E8" s="0" t="n">
        <f aca="false">C8/D8*100000</f>
        <v>3.25193839364459</v>
      </c>
    </row>
    <row r="9" customFormat="false" ht="12.8" hidden="false" customHeight="false" outlineLevel="0" collapsed="false">
      <c r="A9" s="0" t="s">
        <v>18</v>
      </c>
      <c r="B9" s="0" t="n">
        <v>2023</v>
      </c>
      <c r="C9" s="0" t="n">
        <v>101</v>
      </c>
      <c r="D9" s="0" t="n">
        <v>1365884</v>
      </c>
      <c r="E9" s="0" t="n">
        <f aca="false">C9/D9*100000</f>
        <v>7.39447859408266</v>
      </c>
    </row>
    <row r="10" customFormat="false" ht="12.8" hidden="false" customHeight="false" outlineLevel="0" collapsed="false">
      <c r="A10" s="0" t="s">
        <v>19</v>
      </c>
      <c r="B10" s="0" t="n">
        <v>2023</v>
      </c>
      <c r="C10" s="0" t="n">
        <v>210</v>
      </c>
      <c r="D10" s="0" t="n">
        <v>5563970</v>
      </c>
      <c r="E10" s="0" t="n">
        <f aca="false">C10/D10*100000</f>
        <v>3.77428347025595</v>
      </c>
    </row>
    <row r="11" customFormat="false" ht="12.8" hidden="false" customHeight="false" outlineLevel="0" collapsed="false">
      <c r="A11" s="0" t="s">
        <v>20</v>
      </c>
      <c r="B11" s="0" t="n">
        <v>2022</v>
      </c>
      <c r="C11" s="0" t="n">
        <v>499</v>
      </c>
      <c r="D11" s="0" t="n">
        <v>68091703</v>
      </c>
      <c r="E11" s="0" t="n">
        <f aca="false">C11/D11*100000</f>
        <v>0.732835247195976</v>
      </c>
    </row>
    <row r="12" customFormat="false" ht="12.8" hidden="false" customHeight="false" outlineLevel="0" collapsed="false">
      <c r="A12" s="0" t="s">
        <v>21</v>
      </c>
      <c r="B12" s="0" t="n">
        <v>2023</v>
      </c>
      <c r="C12" s="0" t="n">
        <v>1197</v>
      </c>
      <c r="D12" s="0" t="n">
        <v>83118501</v>
      </c>
      <c r="E12" s="0" t="n">
        <f aca="false">C12/D12*100000</f>
        <v>1.44011259298336</v>
      </c>
    </row>
    <row r="13" customFormat="false" ht="12.8" hidden="false" customHeight="false" outlineLevel="0" collapsed="false">
      <c r="A13" s="0" t="s">
        <v>22</v>
      </c>
      <c r="B13" s="0" t="n">
        <v>2021</v>
      </c>
      <c r="C13" s="0" t="n">
        <v>211</v>
      </c>
      <c r="D13" s="3" t="n">
        <v>10555344</v>
      </c>
      <c r="E13" s="0" t="n">
        <f aca="false">C13/D13*100000</f>
        <v>1.99898743233759</v>
      </c>
    </row>
    <row r="14" customFormat="false" ht="12.8" hidden="false" customHeight="false" outlineLevel="0" collapsed="false">
      <c r="A14" s="0" t="s">
        <v>23</v>
      </c>
      <c r="B14" s="0" t="n">
        <v>2023</v>
      </c>
      <c r="C14" s="0" t="n">
        <v>7</v>
      </c>
      <c r="D14" s="3" t="n">
        <v>9599744</v>
      </c>
      <c r="E14" s="0" t="n">
        <f aca="false">C14/D14*100000</f>
        <v>0.0729186111629643</v>
      </c>
    </row>
    <row r="15" customFormat="false" ht="12.8" hidden="false" customHeight="false" outlineLevel="0" collapsed="false">
      <c r="A15" s="0" t="s">
        <v>24</v>
      </c>
      <c r="B15" s="0" t="n">
        <v>2021</v>
      </c>
      <c r="C15" s="0" t="n">
        <v>244</v>
      </c>
      <c r="D15" s="3" t="n">
        <v>5066893</v>
      </c>
      <c r="E15" s="0" t="n">
        <f aca="false">C15/D15*100000</f>
        <v>4.81557435690866</v>
      </c>
    </row>
    <row r="16" customFormat="false" ht="12.8" hidden="false" customHeight="false" outlineLevel="0" collapsed="false">
      <c r="A16" s="0" t="s">
        <v>25</v>
      </c>
      <c r="B16" s="0" t="n">
        <v>2023</v>
      </c>
      <c r="C16" s="0" t="n">
        <v>104</v>
      </c>
      <c r="D16" s="3" t="n">
        <v>58997201</v>
      </c>
      <c r="E16" s="0" t="n">
        <f aca="false">C16/D16*100000</f>
        <v>0.176279549262007</v>
      </c>
    </row>
    <row r="17" customFormat="false" ht="12.8" hidden="false" customHeight="false" outlineLevel="0" collapsed="false">
      <c r="A17" s="0" t="s">
        <v>26</v>
      </c>
      <c r="B17" s="0" t="n">
        <v>2023</v>
      </c>
      <c r="C17" s="0" t="n">
        <v>121</v>
      </c>
      <c r="D17" s="3" t="n">
        <v>1895239</v>
      </c>
      <c r="E17" s="0" t="n">
        <f aca="false">C17/D17*100000</f>
        <v>6.38441906271452</v>
      </c>
    </row>
    <row r="18" customFormat="false" ht="12.8" hidden="false" customHeight="false" outlineLevel="0" collapsed="false">
      <c r="A18" s="0" t="s">
        <v>27</v>
      </c>
      <c r="B18" s="0" t="n">
        <v>2023</v>
      </c>
      <c r="C18" s="0" t="n">
        <v>40</v>
      </c>
      <c r="D18" s="3" t="n">
        <v>2857279</v>
      </c>
      <c r="E18" s="0" t="n">
        <f aca="false">C18/D18*100000</f>
        <v>1.39993329317858</v>
      </c>
    </row>
    <row r="19" customFormat="false" ht="12.8" hidden="false" customHeight="false" outlineLevel="0" collapsed="false">
      <c r="A19" s="0" t="s">
        <v>28</v>
      </c>
      <c r="B19" s="0" t="n">
        <v>2023</v>
      </c>
      <c r="C19" s="0" t="n">
        <v>7</v>
      </c>
      <c r="D19" s="3" t="n">
        <v>660809</v>
      </c>
      <c r="E19" s="0" t="n">
        <f aca="false">C19/D19*100000</f>
        <v>1.0593076062826</v>
      </c>
    </row>
    <row r="20" customFormat="false" ht="12.8" hidden="false" customHeight="false" outlineLevel="0" collapsed="false">
      <c r="A20" s="0" t="s">
        <v>29</v>
      </c>
      <c r="B20" s="0" t="n">
        <v>2023</v>
      </c>
      <c r="C20" s="0" t="n">
        <v>5</v>
      </c>
      <c r="D20" s="3" t="n">
        <v>542051</v>
      </c>
      <c r="E20" s="0" t="n">
        <f aca="false">C20/D20*100000</f>
        <v>0.922422428885843</v>
      </c>
    </row>
    <row r="21" customFormat="false" ht="12.8" hidden="false" customHeight="false" outlineLevel="0" collapsed="false">
      <c r="A21" s="0" t="s">
        <v>30</v>
      </c>
      <c r="B21" s="0" t="n">
        <v>2023</v>
      </c>
      <c r="C21" s="0" t="n">
        <v>178</v>
      </c>
      <c r="D21" s="3" t="n">
        <v>17811291</v>
      </c>
      <c r="E21" s="0" t="n">
        <f aca="false">C21/D21*100000</f>
        <v>0.999366076271507</v>
      </c>
    </row>
    <row r="22" customFormat="false" ht="12.8" hidden="false" customHeight="false" outlineLevel="0" collapsed="false">
      <c r="A22" s="0" t="s">
        <v>31</v>
      </c>
      <c r="B22" s="0" t="n">
        <v>2023</v>
      </c>
      <c r="C22" s="0" t="n">
        <v>291</v>
      </c>
      <c r="D22" s="3" t="n">
        <v>5488984</v>
      </c>
      <c r="E22" s="0" t="n">
        <f aca="false">C22/D22*100000</f>
        <v>5.30152756867209</v>
      </c>
    </row>
    <row r="23" customFormat="false" ht="12.8" hidden="false" customHeight="false" outlineLevel="0" collapsed="false">
      <c r="A23" s="0" t="s">
        <v>33</v>
      </c>
      <c r="B23" s="0" t="n">
        <v>2015</v>
      </c>
      <c r="C23" s="0" t="n">
        <v>27</v>
      </c>
      <c r="D23" s="0" t="n">
        <v>10395121</v>
      </c>
      <c r="E23" s="0" t="n">
        <f aca="false">C23/D23*100000</f>
        <v>0.259737236343858</v>
      </c>
    </row>
    <row r="24" customFormat="false" ht="12.8" hidden="false" customHeight="false" outlineLevel="0" collapsed="false">
      <c r="A24" s="0" t="s">
        <v>34</v>
      </c>
      <c r="B24" s="0" t="n">
        <v>2023</v>
      </c>
      <c r="C24" s="0" t="n">
        <v>18</v>
      </c>
      <c r="D24" s="3" t="n">
        <v>19055228</v>
      </c>
      <c r="E24" s="0" t="n">
        <f aca="false">C24/D24*100000</f>
        <v>0.094462265158937</v>
      </c>
    </row>
    <row r="25" customFormat="false" ht="12.8" hidden="false" customHeight="false" outlineLevel="0" collapsed="false">
      <c r="A25" s="0" t="s">
        <v>35</v>
      </c>
      <c r="B25" s="0" t="n">
        <v>2023</v>
      </c>
      <c r="C25" s="0" t="n">
        <v>24</v>
      </c>
      <c r="D25" s="3" t="n">
        <v>5428792</v>
      </c>
      <c r="E25" s="0" t="n">
        <f aca="false">C25/D25*100000</f>
        <v>0.442087300452845</v>
      </c>
    </row>
    <row r="26" customFormat="false" ht="12.8" hidden="false" customHeight="false" outlineLevel="0" collapsed="false">
      <c r="A26" s="0" t="s">
        <v>36</v>
      </c>
      <c r="B26" s="0" t="n">
        <v>2023</v>
      </c>
      <c r="C26" s="0" t="n">
        <v>54</v>
      </c>
      <c r="D26" s="3" t="n">
        <v>2116972</v>
      </c>
      <c r="E26" s="0" t="n">
        <f aca="false">C26/D26*100000</f>
        <v>2.55081314254511</v>
      </c>
    </row>
    <row r="27" customFormat="false" ht="12.8" hidden="false" customHeight="false" outlineLevel="0" collapsed="false">
      <c r="A27" s="0" t="s">
        <v>37</v>
      </c>
      <c r="B27" s="0" t="n">
        <v>2022</v>
      </c>
      <c r="C27" s="0" t="n">
        <v>531</v>
      </c>
      <c r="D27" s="3" t="n">
        <v>47486843</v>
      </c>
      <c r="E27" s="0" t="n">
        <f aca="false">C27/D27*100000</f>
        <v>1.11820446770909</v>
      </c>
    </row>
    <row r="28" customFormat="false" ht="12.8" hidden="false" customHeight="false" outlineLevel="0" collapsed="false">
      <c r="A28" s="0" t="s">
        <v>38</v>
      </c>
      <c r="B28" s="0" t="n">
        <v>2023</v>
      </c>
      <c r="C28" s="0" t="n">
        <v>376</v>
      </c>
      <c r="D28" s="3" t="n">
        <v>10521556</v>
      </c>
      <c r="E28" s="0" t="n">
        <f aca="false">C28/D28*100000</f>
        <v>3.57361591764564</v>
      </c>
    </row>
    <row r="29" customFormat="false" ht="12.8" hidden="false" customHeight="false" outlineLevel="0" collapsed="false">
      <c r="A29" s="0" t="s">
        <v>39</v>
      </c>
      <c r="B29" s="0" t="n">
        <v>2023</v>
      </c>
      <c r="C29" s="0" t="n">
        <v>65</v>
      </c>
      <c r="D29" s="3" t="n">
        <v>85279553</v>
      </c>
      <c r="E29" s="0" t="n">
        <f aca="false">C29/D29*100000</f>
        <v>0.0762199117061507</v>
      </c>
    </row>
    <row r="30" customFormat="false" ht="12.8" hidden="false" customHeight="false" outlineLevel="0" collapsed="false">
      <c r="A30" s="0" t="s">
        <v>55</v>
      </c>
      <c r="B30" s="0" t="n">
        <v>2023</v>
      </c>
      <c r="C30" s="0" t="n">
        <v>1740</v>
      </c>
      <c r="D30" s="0" t="n">
        <v>5108468</v>
      </c>
      <c r="E30" s="0" t="n">
        <f aca="false">C30/D30*100000</f>
        <v>34.0610922883338</v>
      </c>
    </row>
    <row r="31" customFormat="false" ht="12.8" hidden="false" customHeight="false" outlineLevel="0" collapsed="false">
      <c r="A31" s="0" t="s">
        <v>56</v>
      </c>
      <c r="B31" s="0" t="n">
        <v>2023</v>
      </c>
      <c r="C31" s="0" t="n">
        <v>372</v>
      </c>
      <c r="D31" s="0" t="n">
        <v>733406</v>
      </c>
      <c r="E31" s="0" t="n">
        <f aca="false">C31/D31*100000</f>
        <v>50.7222466137446</v>
      </c>
    </row>
    <row r="32" customFormat="false" ht="12.8" hidden="false" customHeight="false" outlineLevel="0" collapsed="false">
      <c r="A32" s="0" t="s">
        <v>57</v>
      </c>
      <c r="B32" s="0" t="n">
        <v>2023</v>
      </c>
      <c r="C32" s="0" t="n">
        <v>2747</v>
      </c>
      <c r="D32" s="0" t="n">
        <v>7431344</v>
      </c>
      <c r="E32" s="0" t="n">
        <f aca="false">C32/D32*100000</f>
        <v>36.9650496599269</v>
      </c>
    </row>
    <row r="33" customFormat="false" ht="12.8" hidden="false" customHeight="false" outlineLevel="0" collapsed="false">
      <c r="A33" s="0" t="s">
        <v>58</v>
      </c>
      <c r="B33" s="0" t="n">
        <v>2023</v>
      </c>
      <c r="C33" s="0" t="n">
        <v>550</v>
      </c>
      <c r="D33" s="0" t="n">
        <v>3067732</v>
      </c>
      <c r="E33" s="0" t="n">
        <f aca="false">C33/D33*100000</f>
        <v>17.9285543848028</v>
      </c>
    </row>
    <row r="34" customFormat="false" ht="12.8" hidden="false" customHeight="false" outlineLevel="0" collapsed="false">
      <c r="A34" s="0" t="s">
        <v>59</v>
      </c>
      <c r="B34" s="0" t="n">
        <v>2023</v>
      </c>
      <c r="C34" s="0" t="n">
        <v>11843</v>
      </c>
      <c r="D34" s="0" t="n">
        <v>38965193</v>
      </c>
      <c r="E34" s="0" t="n">
        <f aca="false">C34/D34*100000</f>
        <v>30.3937927370205</v>
      </c>
    </row>
    <row r="35" customFormat="false" ht="12.8" hidden="false" customHeight="false" outlineLevel="0" collapsed="false">
      <c r="A35" s="0" t="s">
        <v>60</v>
      </c>
      <c r="B35" s="0" t="n">
        <v>2023</v>
      </c>
      <c r="C35" s="0" t="n">
        <v>1925</v>
      </c>
      <c r="D35" s="0" t="n">
        <v>5877610</v>
      </c>
      <c r="E35" s="0" t="n">
        <f aca="false">C35/D35*100000</f>
        <v>32.7514074598349</v>
      </c>
    </row>
    <row r="36" customFormat="false" ht="12.8" hidden="false" customHeight="false" outlineLevel="0" collapsed="false">
      <c r="A36" s="0" t="s">
        <v>61</v>
      </c>
      <c r="B36" s="0" t="n">
        <v>2023</v>
      </c>
      <c r="C36" s="0" t="n">
        <v>1373</v>
      </c>
      <c r="D36" s="0" t="n">
        <v>3617176</v>
      </c>
      <c r="E36" s="0" t="n">
        <f aca="false">C36/D36*100000</f>
        <v>37.9577880645011</v>
      </c>
    </row>
    <row r="37" customFormat="false" ht="12.8" hidden="false" customHeight="false" outlineLevel="0" collapsed="false">
      <c r="A37" s="0" t="s">
        <v>62</v>
      </c>
      <c r="B37" s="0" t="n">
        <v>2023</v>
      </c>
      <c r="C37" s="0" t="n">
        <v>535</v>
      </c>
      <c r="D37" s="0" t="n">
        <v>1031890</v>
      </c>
      <c r="E37" s="0" t="n">
        <f aca="false">C37/D37*100000</f>
        <v>51.8466115574335</v>
      </c>
    </row>
    <row r="38" customFormat="false" ht="12.8" hidden="false" customHeight="false" outlineLevel="0" collapsed="false">
      <c r="A38" s="0" t="s">
        <v>63</v>
      </c>
      <c r="B38" s="0" t="n">
        <v>2023</v>
      </c>
      <c r="C38" s="0" t="n">
        <v>440</v>
      </c>
      <c r="D38" s="0" t="n">
        <v>678972</v>
      </c>
      <c r="E38" s="0" t="n">
        <f aca="false">C38/D38*100000</f>
        <v>64.8038505269731</v>
      </c>
    </row>
    <row r="39" customFormat="false" ht="12.8" hidden="false" customHeight="false" outlineLevel="0" collapsed="false">
      <c r="A39" s="0" t="s">
        <v>64</v>
      </c>
      <c r="B39" s="0" t="n">
        <v>2023</v>
      </c>
      <c r="C39" s="0" t="n">
        <v>7213</v>
      </c>
      <c r="D39" s="0" t="n">
        <v>22610726</v>
      </c>
      <c r="E39" s="0" t="n">
        <f aca="false">C39/D39*100000</f>
        <v>31.9007890326034</v>
      </c>
    </row>
    <row r="40" customFormat="false" ht="12.8" hidden="false" customHeight="false" outlineLevel="0" collapsed="false">
      <c r="A40" s="0" t="s">
        <v>65</v>
      </c>
      <c r="B40" s="0" t="n">
        <v>2023</v>
      </c>
      <c r="C40" s="0" t="n">
        <v>2702</v>
      </c>
      <c r="D40" s="0" t="n">
        <v>11029227</v>
      </c>
      <c r="E40" s="0" t="n">
        <f aca="false">C40/D40*100000</f>
        <v>24.498543732938</v>
      </c>
    </row>
    <row r="41" customFormat="false" ht="12.8" hidden="false" customHeight="false" outlineLevel="0" collapsed="false">
      <c r="A41" s="0" t="s">
        <v>66</v>
      </c>
      <c r="B41" s="0" t="n">
        <v>2023</v>
      </c>
      <c r="C41" s="0" t="n">
        <v>349</v>
      </c>
      <c r="D41" s="0" t="n">
        <v>1435138</v>
      </c>
      <c r="E41" s="0" t="n">
        <f aca="false">C41/D41*100000</f>
        <v>24.3182188751186</v>
      </c>
    </row>
    <row r="42" customFormat="false" ht="12.8" hidden="false" customHeight="false" outlineLevel="0" collapsed="false">
      <c r="A42" s="0" t="s">
        <v>67</v>
      </c>
      <c r="B42" s="0" t="n">
        <v>2023</v>
      </c>
      <c r="C42" s="0" t="n">
        <v>416</v>
      </c>
      <c r="D42" s="0" t="n">
        <v>1964726</v>
      </c>
      <c r="E42" s="0" t="n">
        <f aca="false">C42/D42*100000</f>
        <v>21.1734358887702</v>
      </c>
    </row>
    <row r="43" customFormat="false" ht="12.8" hidden="false" customHeight="false" outlineLevel="0" collapsed="false">
      <c r="A43" s="0" t="s">
        <v>68</v>
      </c>
      <c r="B43" s="0" t="n">
        <v>2023</v>
      </c>
      <c r="C43" s="0" t="n">
        <v>3599</v>
      </c>
      <c r="D43" s="0" t="n">
        <v>12549689</v>
      </c>
      <c r="E43" s="0" t="n">
        <f aca="false">C43/D43*100000</f>
        <v>28.6780015026667</v>
      </c>
    </row>
    <row r="44" customFormat="false" ht="12.8" hidden="false" customHeight="false" outlineLevel="0" collapsed="false">
      <c r="A44" s="0" t="s">
        <v>69</v>
      </c>
      <c r="B44" s="0" t="n">
        <v>2023</v>
      </c>
      <c r="C44" s="0" t="n">
        <v>2285</v>
      </c>
      <c r="D44" s="0" t="n">
        <v>6862199</v>
      </c>
      <c r="E44" s="0" t="n">
        <f aca="false">C44/D44*100000</f>
        <v>33.2983639792434</v>
      </c>
    </row>
    <row r="45" customFormat="false" ht="12.8" hidden="false" customHeight="false" outlineLevel="0" collapsed="false">
      <c r="A45" s="0" t="s">
        <v>70</v>
      </c>
      <c r="B45" s="0" t="n">
        <v>2023</v>
      </c>
      <c r="C45" s="0" t="n">
        <v>489</v>
      </c>
      <c r="D45" s="0" t="n">
        <v>3207004</v>
      </c>
      <c r="E45" s="0" t="n">
        <f aca="false">C45/D45*100000</f>
        <v>15.2478762109433</v>
      </c>
    </row>
    <row r="46" customFormat="false" ht="12.8" hidden="false" customHeight="false" outlineLevel="0" collapsed="false">
      <c r="A46" s="0" t="s">
        <v>71</v>
      </c>
      <c r="B46" s="0" t="n">
        <v>2023</v>
      </c>
      <c r="C46" s="0" t="n">
        <v>681</v>
      </c>
      <c r="D46" s="0" t="n">
        <v>2940546</v>
      </c>
      <c r="E46" s="0" t="n">
        <f aca="false">C46/D46*100000</f>
        <v>23.1589643555993</v>
      </c>
    </row>
    <row r="47" customFormat="false" ht="12.8" hidden="false" customHeight="false" outlineLevel="0" collapsed="false">
      <c r="A47" s="0" t="s">
        <v>72</v>
      </c>
      <c r="B47" s="0" t="n">
        <v>2023</v>
      </c>
      <c r="C47" s="0" t="n">
        <v>2167</v>
      </c>
      <c r="D47" s="0" t="n">
        <v>4526154</v>
      </c>
      <c r="E47" s="0" t="n">
        <f aca="false">C47/D47*100000</f>
        <v>47.8772927302076</v>
      </c>
    </row>
    <row r="48" customFormat="false" ht="12.8" hidden="false" customHeight="false" outlineLevel="0" collapsed="false">
      <c r="A48" s="0" t="s">
        <v>73</v>
      </c>
      <c r="B48" s="0" t="n">
        <v>2023</v>
      </c>
      <c r="C48" s="0" t="n">
        <v>2306</v>
      </c>
      <c r="D48" s="0" t="n">
        <v>4573749</v>
      </c>
      <c r="E48" s="0" t="n">
        <f aca="false">C48/D48*100000</f>
        <v>50.4181580580832</v>
      </c>
    </row>
    <row r="49" customFormat="false" ht="12.8" hidden="false" customHeight="false" outlineLevel="0" collapsed="false">
      <c r="A49" s="0" t="s">
        <v>74</v>
      </c>
      <c r="B49" s="0" t="n">
        <v>2023</v>
      </c>
      <c r="C49" s="0" t="n">
        <v>613</v>
      </c>
      <c r="D49" s="0" t="n">
        <v>1395722</v>
      </c>
      <c r="E49" s="0" t="n">
        <f aca="false">C49/D49*100000</f>
        <v>43.9199210157897</v>
      </c>
    </row>
    <row r="50" customFormat="false" ht="12.8" hidden="false" customHeight="false" outlineLevel="0" collapsed="false">
      <c r="A50" s="0" t="s">
        <v>75</v>
      </c>
      <c r="B50" s="0" t="n">
        <v>2023</v>
      </c>
      <c r="C50" s="0" t="n">
        <v>2617</v>
      </c>
      <c r="D50" s="0" t="n">
        <v>6180253</v>
      </c>
      <c r="E50" s="0" t="n">
        <f aca="false">C50/D50*100000</f>
        <v>42.3445447945254</v>
      </c>
    </row>
    <row r="51" customFormat="false" ht="12.8" hidden="false" customHeight="false" outlineLevel="0" collapsed="false">
      <c r="A51" s="0" t="s">
        <v>76</v>
      </c>
      <c r="B51" s="0" t="n">
        <v>2023</v>
      </c>
      <c r="C51" s="0" t="n">
        <v>2512</v>
      </c>
      <c r="D51" s="0" t="n">
        <v>7001399</v>
      </c>
      <c r="E51" s="0" t="n">
        <f aca="false">C51/D51*100000</f>
        <v>35.87854370248</v>
      </c>
    </row>
    <row r="52" customFormat="false" ht="12.8" hidden="false" customHeight="false" outlineLevel="0" collapsed="false">
      <c r="A52" s="0" t="s">
        <v>77</v>
      </c>
      <c r="B52" s="0" t="n">
        <v>2023</v>
      </c>
      <c r="C52" s="0" t="n">
        <v>2949</v>
      </c>
      <c r="D52" s="0" t="n">
        <v>10037261</v>
      </c>
      <c r="E52" s="0" t="n">
        <f aca="false">C52/D52*100000</f>
        <v>29.3805252249593</v>
      </c>
    </row>
    <row r="53" customFormat="false" ht="12.8" hidden="false" customHeight="false" outlineLevel="0" collapsed="false">
      <c r="A53" s="0" t="s">
        <v>78</v>
      </c>
      <c r="B53" s="0" t="n">
        <v>2023</v>
      </c>
      <c r="C53" s="0" t="n">
        <v>1492</v>
      </c>
      <c r="D53" s="0" t="n">
        <v>5737915</v>
      </c>
      <c r="E53" s="0" t="n">
        <f aca="false">C53/D53*100000</f>
        <v>26.0024765093244</v>
      </c>
    </row>
    <row r="54" customFormat="false" ht="12.8" hidden="false" customHeight="false" outlineLevel="0" collapsed="false">
      <c r="A54" s="0" t="s">
        <v>79</v>
      </c>
      <c r="B54" s="0" t="n">
        <v>2023</v>
      </c>
      <c r="C54" s="0" t="n">
        <v>739</v>
      </c>
      <c r="D54" s="0" t="n">
        <v>2939690</v>
      </c>
      <c r="E54" s="0" t="n">
        <f aca="false">C54/D54*100000</f>
        <v>25.1387051015583</v>
      </c>
    </row>
    <row r="55" customFormat="false" ht="12.8" hidden="false" customHeight="false" outlineLevel="0" collapsed="false">
      <c r="A55" s="0" t="s">
        <v>80</v>
      </c>
      <c r="B55" s="0" t="n">
        <v>2023</v>
      </c>
      <c r="C55" s="0" t="n">
        <v>2054</v>
      </c>
      <c r="D55" s="0" t="n">
        <v>6196156</v>
      </c>
      <c r="E55" s="0" t="n">
        <f aca="false">C55/D55*100000</f>
        <v>33.149585000765</v>
      </c>
    </row>
    <row r="56" customFormat="false" ht="12.8" hidden="false" customHeight="false" outlineLevel="0" collapsed="false">
      <c r="A56" s="0" t="s">
        <v>81</v>
      </c>
      <c r="B56" s="0" t="n">
        <v>2023</v>
      </c>
      <c r="C56" s="0" t="n">
        <v>195</v>
      </c>
      <c r="D56" s="0" t="n">
        <v>1132812</v>
      </c>
      <c r="E56" s="0" t="n">
        <f aca="false">C56/D56*100000</f>
        <v>17.2138007012638</v>
      </c>
    </row>
    <row r="57" customFormat="false" ht="12.8" hidden="false" customHeight="false" outlineLevel="0" collapsed="false">
      <c r="A57" s="0" t="s">
        <v>82</v>
      </c>
      <c r="B57" s="0" t="n">
        <v>2023</v>
      </c>
      <c r="C57" s="0" t="n">
        <v>187</v>
      </c>
      <c r="D57" s="0" t="n">
        <v>1978379</v>
      </c>
      <c r="E57" s="0" t="n">
        <f aca="false">C57/D57*100000</f>
        <v>9.45218282240157</v>
      </c>
    </row>
    <row r="58" customFormat="false" ht="12.8" hidden="false" customHeight="false" outlineLevel="0" collapsed="false">
      <c r="A58" s="0" t="s">
        <v>83</v>
      </c>
      <c r="B58" s="0" t="n">
        <v>2023</v>
      </c>
      <c r="C58" s="0" t="n">
        <v>1322</v>
      </c>
      <c r="D58" s="0" t="n">
        <v>3194176</v>
      </c>
      <c r="E58" s="0" t="n">
        <f aca="false">C58/D58*100000</f>
        <v>41.3878258430343</v>
      </c>
    </row>
    <row r="59" customFormat="false" ht="12.8" hidden="false" customHeight="false" outlineLevel="0" collapsed="false">
      <c r="A59" s="0" t="s">
        <v>84</v>
      </c>
      <c r="B59" s="0" t="n">
        <v>2023</v>
      </c>
      <c r="C59" s="0" t="n">
        <v>456</v>
      </c>
      <c r="D59" s="0" t="n">
        <v>1402054</v>
      </c>
      <c r="E59" s="0" t="n">
        <f aca="false">C59/D59*100000</f>
        <v>32.5237116402079</v>
      </c>
    </row>
    <row r="60" customFormat="false" ht="12.8" hidden="false" customHeight="false" outlineLevel="0" collapsed="false">
      <c r="A60" s="0" t="s">
        <v>85</v>
      </c>
      <c r="B60" s="0" t="n">
        <v>2023</v>
      </c>
      <c r="C60" s="0" t="n">
        <v>2776</v>
      </c>
      <c r="D60" s="0" t="n">
        <v>9290841</v>
      </c>
      <c r="E60" s="0" t="n">
        <f aca="false">C60/D60*100000</f>
        <v>29.8788882513434</v>
      </c>
    </row>
    <row r="61" customFormat="false" ht="12.8" hidden="false" customHeight="false" outlineLevel="0" collapsed="false">
      <c r="A61" s="0" t="s">
        <v>86</v>
      </c>
      <c r="B61" s="0" t="n">
        <v>2023</v>
      </c>
      <c r="C61" s="0" t="n">
        <v>1029</v>
      </c>
      <c r="D61" s="0" t="n">
        <v>2114371</v>
      </c>
      <c r="E61" s="0" t="n">
        <f aca="false">C61/D61*100000</f>
        <v>48.6669557991478</v>
      </c>
    </row>
    <row r="62" customFormat="false" ht="12.8" hidden="false" customHeight="false" outlineLevel="0" collapsed="false">
      <c r="A62" s="0" t="s">
        <v>87</v>
      </c>
      <c r="B62" s="0" t="n">
        <v>2023</v>
      </c>
      <c r="C62" s="0" t="n">
        <v>6545</v>
      </c>
      <c r="D62" s="0" t="n">
        <v>19571216</v>
      </c>
      <c r="E62" s="0" t="n">
        <f aca="false">C62/D62*100000</f>
        <v>33.4419690631384</v>
      </c>
    </row>
    <row r="63" customFormat="false" ht="12.8" hidden="false" customHeight="false" outlineLevel="0" collapsed="false">
      <c r="A63" s="0" t="s">
        <v>88</v>
      </c>
      <c r="B63" s="0" t="n">
        <v>2023</v>
      </c>
      <c r="C63" s="0" t="n">
        <v>3705</v>
      </c>
      <c r="D63" s="0" t="n">
        <v>10835491</v>
      </c>
      <c r="E63" s="0" t="n">
        <f aca="false">C63/D63*100000</f>
        <v>34.1931897686962</v>
      </c>
    </row>
    <row r="64" customFormat="false" ht="12.8" hidden="false" customHeight="false" outlineLevel="0" collapsed="false">
      <c r="A64" s="0" t="s">
        <v>89</v>
      </c>
      <c r="B64" s="0" t="n">
        <v>2023</v>
      </c>
      <c r="C64" s="0" t="n">
        <v>129</v>
      </c>
      <c r="D64" s="0" t="n">
        <v>783926</v>
      </c>
      <c r="E64" s="0" t="n">
        <f aca="false">C64/D64*100000</f>
        <v>16.4556348430847</v>
      </c>
    </row>
    <row r="65" customFormat="false" ht="12.8" hidden="false" customHeight="false" outlineLevel="0" collapsed="false">
      <c r="A65" s="0" t="s">
        <v>90</v>
      </c>
      <c r="B65" s="0" t="n">
        <v>2023</v>
      </c>
      <c r="C65" s="0" t="n">
        <v>4873</v>
      </c>
      <c r="D65" s="0" t="n">
        <v>11785935</v>
      </c>
      <c r="E65" s="0" t="n">
        <f aca="false">C65/D65*100000</f>
        <v>41.3458923708641</v>
      </c>
    </row>
    <row r="66" customFormat="false" ht="12.8" hidden="false" customHeight="false" outlineLevel="0" collapsed="false">
      <c r="A66" s="0" t="s">
        <v>91</v>
      </c>
      <c r="B66" s="0" t="n">
        <v>2023</v>
      </c>
      <c r="C66" s="0" t="n">
        <v>1338</v>
      </c>
      <c r="D66" s="0" t="n">
        <v>4053824</v>
      </c>
      <c r="E66" s="0" t="n">
        <f aca="false">C66/D66*100000</f>
        <v>33.0058729732717</v>
      </c>
    </row>
    <row r="67" customFormat="false" ht="12.8" hidden="false" customHeight="false" outlineLevel="0" collapsed="false">
      <c r="A67" s="0" t="s">
        <v>92</v>
      </c>
      <c r="B67" s="0" t="n">
        <v>2023</v>
      </c>
      <c r="C67" s="0" t="n">
        <v>1963</v>
      </c>
      <c r="D67" s="0" t="n">
        <v>4233358</v>
      </c>
      <c r="E67" s="0" t="n">
        <f aca="false">C67/D67*100000</f>
        <v>46.3698085538714</v>
      </c>
    </row>
    <row r="68" customFormat="false" ht="12.8" hidden="false" customHeight="false" outlineLevel="0" collapsed="false">
      <c r="A68" s="0" t="s">
        <v>93</v>
      </c>
      <c r="B68" s="0" t="n">
        <v>2023</v>
      </c>
      <c r="C68" s="0" t="n">
        <v>4879</v>
      </c>
      <c r="D68" s="0" t="n">
        <v>12961683</v>
      </c>
      <c r="E68" s="0" t="n">
        <f aca="false">C68/D68*100000</f>
        <v>37.6417167431112</v>
      </c>
    </row>
    <row r="69" customFormat="false" ht="12.8" hidden="false" customHeight="false" outlineLevel="0" collapsed="false">
      <c r="A69" s="0" t="s">
        <v>94</v>
      </c>
      <c r="B69" s="0" t="n">
        <v>2023</v>
      </c>
      <c r="C69" s="0" t="n">
        <v>420</v>
      </c>
      <c r="D69" s="0" t="n">
        <v>1095962</v>
      </c>
      <c r="E69" s="0" t="n">
        <f aca="false">C69/D69*100000</f>
        <v>38.3224965829107</v>
      </c>
    </row>
    <row r="70" customFormat="false" ht="12.8" hidden="false" customHeight="false" outlineLevel="0" collapsed="false">
      <c r="A70" s="0" t="s">
        <v>95</v>
      </c>
      <c r="B70" s="0" t="n">
        <v>2023</v>
      </c>
      <c r="C70" s="0" t="n">
        <v>2269</v>
      </c>
      <c r="D70" s="0" t="n">
        <v>5373555</v>
      </c>
      <c r="E70" s="0" t="n">
        <f aca="false">C70/D70*100000</f>
        <v>42.2253052215898</v>
      </c>
    </row>
    <row r="71" customFormat="false" ht="12.8" hidden="false" customHeight="false" outlineLevel="0" collapsed="false">
      <c r="A71" s="0" t="s">
        <v>96</v>
      </c>
      <c r="B71" s="0" t="n">
        <v>2023</v>
      </c>
      <c r="C71" s="0" t="n">
        <v>104</v>
      </c>
      <c r="D71" s="0" t="n">
        <v>919318</v>
      </c>
      <c r="E71" s="0" t="n">
        <f aca="false">C71/D71*100000</f>
        <v>11.3127340049907</v>
      </c>
    </row>
    <row r="72" customFormat="false" ht="12.8" hidden="false" customHeight="false" outlineLevel="0" collapsed="false">
      <c r="A72" s="0" t="s">
        <v>97</v>
      </c>
      <c r="B72" s="0" t="n">
        <v>2023</v>
      </c>
      <c r="C72" s="0" t="n">
        <v>3731</v>
      </c>
      <c r="D72" s="0" t="n">
        <v>7126489</v>
      </c>
      <c r="E72" s="0" t="n">
        <f aca="false">C72/D72*100000</f>
        <v>52.3539712192077</v>
      </c>
    </row>
    <row r="73" customFormat="false" ht="12.8" hidden="false" customHeight="false" outlineLevel="0" collapsed="false">
      <c r="A73" s="0" t="s">
        <v>98</v>
      </c>
      <c r="B73" s="0" t="n">
        <v>2023</v>
      </c>
      <c r="C73" s="0" t="n">
        <v>5903</v>
      </c>
      <c r="D73" s="0" t="n">
        <v>30503301</v>
      </c>
      <c r="E73" s="0" t="n">
        <f aca="false">C73/D73*100000</f>
        <v>19.3520039027907</v>
      </c>
    </row>
    <row r="74" customFormat="false" ht="12.8" hidden="false" customHeight="false" outlineLevel="0" collapsed="false">
      <c r="A74" s="0" t="s">
        <v>99</v>
      </c>
      <c r="B74" s="0" t="n">
        <v>2023</v>
      </c>
      <c r="C74" s="0" t="n">
        <v>713</v>
      </c>
      <c r="D74" s="0" t="n">
        <v>3417734</v>
      </c>
      <c r="E74" s="0" t="n">
        <f aca="false">C74/D74*100000</f>
        <v>20.8617756677377</v>
      </c>
    </row>
    <row r="75" customFormat="false" ht="12.8" hidden="false" customHeight="false" outlineLevel="0" collapsed="false">
      <c r="A75" s="0" t="s">
        <v>100</v>
      </c>
      <c r="B75" s="0" t="n">
        <v>2023</v>
      </c>
      <c r="C75" s="0" t="n">
        <v>275</v>
      </c>
      <c r="D75" s="0" t="n">
        <v>647464</v>
      </c>
      <c r="E75" s="0" t="n">
        <f aca="false">C75/D75*100000</f>
        <v>42.4734039267048</v>
      </c>
    </row>
    <row r="76" customFormat="false" ht="12.8" hidden="false" customHeight="false" outlineLevel="0" collapsed="false">
      <c r="A76" s="0" t="s">
        <v>101</v>
      </c>
      <c r="B76" s="0" t="n">
        <v>2023</v>
      </c>
      <c r="C76" s="0" t="n">
        <v>2564</v>
      </c>
      <c r="D76" s="0" t="n">
        <v>8715698</v>
      </c>
      <c r="E76" s="0" t="n">
        <f aca="false">C76/D76*100000</f>
        <v>29.4181831449415</v>
      </c>
    </row>
    <row r="77" customFormat="false" ht="12.8" hidden="false" customHeight="false" outlineLevel="0" collapsed="false">
      <c r="A77" s="0" t="s">
        <v>102</v>
      </c>
      <c r="B77" s="0" t="n">
        <v>2023</v>
      </c>
      <c r="C77" s="0" t="n">
        <v>3637</v>
      </c>
      <c r="D77" s="0" t="n">
        <v>7812880</v>
      </c>
      <c r="E77" s="0" t="n">
        <f aca="false">C77/D77*100000</f>
        <v>46.5513357430295</v>
      </c>
    </row>
    <row r="78" customFormat="false" ht="12.8" hidden="false" customHeight="false" outlineLevel="0" collapsed="false">
      <c r="A78" s="0" t="s">
        <v>103</v>
      </c>
      <c r="B78" s="0" t="n">
        <v>2023</v>
      </c>
      <c r="C78" s="0" t="n">
        <v>1409</v>
      </c>
      <c r="D78" s="0" t="n">
        <v>1770071</v>
      </c>
      <c r="E78" s="0" t="n">
        <f aca="false">C78/D78*100000</f>
        <v>79.6013267264421</v>
      </c>
    </row>
    <row r="79" customFormat="false" ht="12.8" hidden="false" customHeight="false" outlineLevel="0" collapsed="false">
      <c r="A79" s="0" t="s">
        <v>104</v>
      </c>
      <c r="B79" s="0" t="n">
        <v>2023</v>
      </c>
      <c r="C79" s="0" t="n">
        <v>1793</v>
      </c>
      <c r="D79" s="0" t="n">
        <v>5910955</v>
      </c>
      <c r="E79" s="0" t="n">
        <f aca="false">C79/D79*100000</f>
        <v>30.3335078680179</v>
      </c>
    </row>
    <row r="80" customFormat="false" ht="12.8" hidden="false" customHeight="false" outlineLevel="0" collapsed="false">
      <c r="A80" s="0" t="s">
        <v>105</v>
      </c>
      <c r="B80" s="0" t="n">
        <v>2023</v>
      </c>
      <c r="C80" s="0" t="n">
        <v>144</v>
      </c>
      <c r="D80" s="0" t="n">
        <v>584057</v>
      </c>
      <c r="E80" s="0" t="n">
        <f aca="false">C80/D80*100000</f>
        <v>24.65512783855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2026-03-02T12:05:53Z</dcterms:created>
  <dc:creator>Apache POI</dc:creator>
  <dc:description/>
  <dc:language>en-US</dc:language>
  <cp:lastModifiedBy/>
  <dcterms:modified xsi:type="dcterms:W3CDTF">2026-04-04T13:45:58Z</dcterms:modified>
  <cp:revision>2</cp:revision>
  <dc:subject/>
  <dc:title/>
</cp:coreProperties>
</file>